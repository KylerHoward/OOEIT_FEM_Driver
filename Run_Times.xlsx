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ab63ab47daf7fe/School/Colorado State/Research/Dr. Mueller/FEM/OOEIT_testing/"/>
    </mc:Choice>
  </mc:AlternateContent>
  <xr:revisionPtr revIDLastSave="2" documentId="13_ncr:1_{56557071-6BA2-4CB9-B5CA-BBCA97F09083}" xr6:coauthVersionLast="47" xr6:coauthVersionMax="47" xr10:uidLastSave="{E310873E-4C2F-484A-85E3-A8BEBABF12BC}"/>
  <bookViews>
    <workbookView xWindow="-80" yWindow="-80" windowWidth="25760" windowHeight="13960" xr2:uid="{F0ED17F8-874D-4616-A83A-006F6626C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K3" i="1" l="1" a="1"/>
  <c r="K3" i="1" s="1"/>
  <c r="J3" i="1" a="1"/>
  <c r="J3" i="1" s="1"/>
  <c r="I3" i="1"/>
  <c r="H3" i="1" a="1"/>
  <c r="H3" i="1" s="1"/>
  <c r="I8" i="1" l="1"/>
  <c r="I7" i="1"/>
  <c r="I6" i="1"/>
  <c r="I5" i="1"/>
  <c r="I4" i="1"/>
  <c r="I2" i="1"/>
  <c r="K7" i="1" a="1"/>
  <c r="K7" i="1" s="1"/>
  <c r="J7" i="1" a="1"/>
  <c r="J7" i="1" s="1"/>
  <c r="H7" i="1" a="1"/>
  <c r="H7" i="1" s="1"/>
  <c r="K4" i="1" a="1"/>
  <c r="K4" i="1" s="1"/>
  <c r="J4" i="1" a="1"/>
  <c r="J4" i="1" s="1"/>
  <c r="H4" i="1" a="1"/>
  <c r="H4" i="1" s="1"/>
  <c r="K5" i="1" a="1"/>
  <c r="K5" i="1" s="1"/>
  <c r="K8" i="1" a="1"/>
  <c r="K8" i="1" s="1"/>
  <c r="K6" i="1" a="1"/>
  <c r="K6" i="1" s="1"/>
  <c r="K2" i="1" a="1"/>
  <c r="K2" i="1" s="1"/>
  <c r="J8" i="1" a="1"/>
  <c r="J8" i="1" s="1"/>
  <c r="J6" i="1" a="1"/>
  <c r="J6" i="1" s="1"/>
  <c r="J5" i="1" a="1"/>
  <c r="J5" i="1" s="1"/>
  <c r="J2" i="1" a="1"/>
  <c r="J2" i="1" s="1"/>
  <c r="H8" i="1" a="1"/>
  <c r="H8" i="1" s="1"/>
  <c r="H6" i="1" a="1"/>
  <c r="H6" i="1" s="1"/>
  <c r="H5" i="1" a="1"/>
  <c r="H5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<sst xmlns="http://schemas.openxmlformats.org/spreadsheetml/2006/main" count="18" uniqueCount="18">
  <si>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Nodes</t>
  </si>
  <si>
    <t>Elements</t>
  </si>
  <si>
    <t>Per Solve (min)</t>
  </si>
  <si>
    <t>Intialization (min)</t>
  </si>
  <si>
    <t>Total (hrs)</t>
  </si>
  <si>
    <t>O(n)</t>
  </si>
  <si>
    <t>O(n^2)</t>
  </si>
  <si>
    <t>O(ln(n))</t>
  </si>
  <si>
    <t>O(m^n)</t>
  </si>
  <si>
    <t>Color Range</t>
  </si>
  <si>
    <t>Subj</t>
  </si>
  <si>
    <t>R1035 Cyl</t>
  </si>
  <si>
    <t>case101819</t>
  </si>
  <si>
    <t>R1035</t>
  </si>
  <si>
    <t>R1053</t>
  </si>
  <si>
    <t>R1002</t>
  </si>
  <si>
    <t>R1043</t>
  </si>
  <si>
    <t>case101819 + bones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</si>
</sst>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/>
    <xf numFmtId="0" fontId="1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/>
    <xf numFmtId="3" fontId="0" fillId="0" borderId="9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/>
    <xf numFmtId="2" fontId="0" fillId="0" borderId="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B9B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159915046172706E-2"/>
          <c:y val="5.0749711649365627E-2"/>
          <c:w val="0.60522204345945863"/>
          <c:h val="0.74475982889682046"/>
        </c:manualLayout>
      </c:layout>
      <c:scatterChart>
        <c:scatterStyle val="lineMarker"/>
        <c:varyColors val="0"/>
        <c:ser>
          <c:idx val="0"/>
          <c:order val="0"/>
          <c:tx>
            <c:v>Elements vs Hours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Sheet1!$C$2:$C$10</c:f>
              <c:numCache>
                <c:formatCode>#,##0</c:formatCode>
                <c:ptCount val="9"/>
                <c:pt idx="0">
                  <c:v>1964543</c:v>
                </c:pt>
                <c:pt idx="1">
                  <c:v>2197031</c:v>
                </c:pt>
                <c:pt idx="2">
                  <c:v>3433923</c:v>
                </c:pt>
                <c:pt idx="3">
                  <c:v>3671704</c:v>
                </c:pt>
                <c:pt idx="4">
                  <c:v>4395559</c:v>
                </c:pt>
                <c:pt idx="5">
                  <c:v>8388766</c:v>
                </c:pt>
                <c:pt idx="6">
                  <c:v>10023369</c:v>
                </c:pt>
              </c:numCache>
            </c:numRef>
          </c:xVal>
          <c:yVal>
            <c:numRef>
              <c:f>Sheet1!$F$2:$F$10</c:f>
              <c:numCache>
                <c:formatCode>0.00</c:formatCode>
                <c:ptCount val="9"/>
                <c:pt idx="0">
                  <c:v>0.48</c:v>
                </c:pt>
                <c:pt idx="1">
                  <c:v>0.69</c:v>
                </c:pt>
                <c:pt idx="2">
                  <c:v>1.34</c:v>
                </c:pt>
                <c:pt idx="3">
                  <c:v>1.5</c:v>
                </c:pt>
                <c:pt idx="4">
                  <c:v>2.6</c:v>
                </c:pt>
                <c:pt idx="5">
                  <c:v>6.1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B-44B6-B406-896F1BC3B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74032"/>
        <c:axId val="1028373072"/>
      </c:scatterChart>
      <c:valAx>
        <c:axId val="102837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73072"/>
        <c:crosses val="autoZero"/>
        <c:crossBetween val="midCat"/>
      </c:valAx>
      <c:valAx>
        <c:axId val="10283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7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11112</xdr:rowOff>
    </xdr:from>
    <xdr:to>
      <xdr:col>8</xdr:col>
      <xdr:colOff>79376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D4AFF-13DF-3DE8-F2BC-21C94C15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0</xdr:row>
      <xdr:rowOff>8989</xdr:rowOff>
    </xdr:from>
    <xdr:to>
      <xdr:col>16</xdr:col>
      <xdr:colOff>361950</xdr:colOff>
      <xdr:row>9</xdr:row>
      <xdr:rowOff>168709</xdr:rowOff>
    </xdr:to>
    <xdr:pic>
      <xdr:nvPicPr>
        <xdr:cNvPr id="3" name="Picture 2" descr="Image from bigocheatsheet.com">
          <a:extLst>
            <a:ext uri="{FF2B5EF4-FFF2-40B4-BE49-F238E27FC236}">
              <a16:creationId xmlns:a16="http://schemas.microsoft.com/office/drawing/2014/main" id="{C68FE5A2-0765-9A35-24DF-7ED31535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8989"/>
          <a:ext cx="2990850" cy="1801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BD2E-5B9E-4A4A-9DDE-D8F63E012F30}">
  <dimension ref="A1:S8"/>
  <sheetViews>
    <sheetView tabSelected="1" zoomScaleNormal="100" workbookViewId="0">
      <selection activeCell="L20" sqref="L20"/>
    </sheetView>
  </sheetViews>
  <sheetFormatPr defaultRowHeight="14.5" x14ac:dyDescent="0.35"/>
  <cols>
    <col min="1" max="1" width="17.81640625" bestFit="1" customWidth="1"/>
    <col min="2" max="2" width="8.90625" style="1" bestFit="1" customWidth="1"/>
    <col min="3" max="3" width="9.90625" style="1" customWidth="1"/>
    <col min="4" max="4" width="16.1796875" customWidth="1"/>
    <col min="5" max="5" width="14.1796875" bestFit="1" customWidth="1"/>
    <col min="6" max="6" width="9.6328125" customWidth="1"/>
    <col min="9" max="9" width="10.1796875" bestFit="1" customWidth="1"/>
    <col min="14" max="14" width="11.453125" bestFit="1" customWidth="1"/>
    <col min="17" max="17" width="11.81640625" bestFit="1" customWidth="1"/>
    <col min="18" max="18" width="11.36328125" bestFit="1" customWidth="1"/>
    <col min="19" max="19" width="11.81640625" bestFit="1" customWidth="1"/>
  </cols>
  <sheetData>
    <row r="1" spans="1:19" ht="15" thickBot="1" x14ac:dyDescent="0.4">
      <c r="A1" s="13" t="s">
        <v>10</v>
      </c>
      <c r="B1" s="6" t="s">
        <v>0</v>
      </c>
      <c r="C1" s="10" t="s">
        <v>1</v>
      </c>
      <c r="D1" s="7" t="s">
        <v>3</v>
      </c>
      <c r="E1" s="6" t="s">
        <v>2</v>
      </c>
      <c r="F1" s="6" t="s">
        <v>4</v>
      </c>
      <c r="H1" s="13" t="s">
        <v>5</v>
      </c>
      <c r="I1" s="13" t="s">
        <v>7</v>
      </c>
      <c r="J1" s="13" t="s">
        <v>6</v>
      </c>
      <c r="K1" s="13" t="s">
        <v>8</v>
      </c>
      <c r="N1" s="20" t="s">
        <v>9</v>
      </c>
    </row>
    <row r="2" spans="1:19" x14ac:dyDescent="0.35">
      <c r="A2" s="4" t="s">
        <v>14</v>
      </c>
      <c r="B2" s="4">
        <v>339309</v>
      </c>
      <c r="C2" s="11">
        <v>1964543</v>
      </c>
      <c r="D2" s="18">
        <v>11</v>
      </c>
      <c r="E2" s="19">
        <f>8.06/60</f>
        <v>0.13433333333333333</v>
      </c>
      <c r="F2" s="19">
        <v>0.48</v>
      </c>
      <c r="H2" s="15" cm="1">
        <f t="array" ref="H2">INDEX(LINEST($F$2:$F$8,$C$2:$C$8),1)*C2 + INDEX(LINEST($F$2:$F$8,$C$2:$C$8),2)</f>
        <v>0.35414427471071797</v>
      </c>
      <c r="I2" s="15">
        <f t="shared" ref="I2:I8" si="0">-66.6447+4.5491*LN(C2)</f>
        <v>-0.72473725469191663</v>
      </c>
      <c r="J2" s="16" cm="1">
        <f t="array" ref="J2">INDEX(LINEST($F$2:$F$8,$C$2:$C$8^{1,2}),3)+INDEX(LINEST($F$2:$F$8,$C$2:$C$8^{1,2}),2)*C2+INDEX(LINEST($F$2:$F$8,$C$2:$C$8^{1,2}),1)*C2^2</f>
        <v>0.34974678494941736</v>
      </c>
      <c r="K2" s="15" cm="1">
        <f t="array" ref="K2">INDEX(LOGEST($F$2:$F$8,$C$2:$C$8),2)*INDEX(LOGEST($F$2:$F$8,$C$2:$C$8),1)^C2</f>
        <v>0.7477263222066326</v>
      </c>
      <c r="N2">
        <v>0.5</v>
      </c>
    </row>
    <row r="3" spans="1:19" x14ac:dyDescent="0.35">
      <c r="A3" s="2" t="s">
        <v>12</v>
      </c>
      <c r="B3" s="4">
        <v>379059</v>
      </c>
      <c r="C3" s="11">
        <v>2197031</v>
      </c>
      <c r="D3" s="8">
        <v>15.33</v>
      </c>
      <c r="E3" s="15">
        <v>0.82</v>
      </c>
      <c r="F3" s="15">
        <v>0.69</v>
      </c>
      <c r="H3" s="15" cm="1">
        <f t="array" ref="H3">INDEX(LINEST($F$2:$F$8,$C$2:$C$8),1)*C3 + INDEX(LINEST($F$2:$F$8,$C$2:$C$8),2)</f>
        <v>0.55125985273379774</v>
      </c>
      <c r="I3" s="15">
        <f t="shared" si="0"/>
        <v>-0.21593290626609019</v>
      </c>
      <c r="J3" s="17" cm="1">
        <f t="array" ref="J3">INDEX(LINEST($F$2:$F$8,$C$2:$C$8^{1,2}),3)+INDEX(LINEST($F$2:$F$8,$C$2:$C$8^{1,2}),2)*C3+INDEX(LINEST($F$2:$F$8,$C$2:$C$8^{1,2}),1)*C3^2</f>
        <v>0.54805854990581027</v>
      </c>
      <c r="K3" s="15" cm="1">
        <f t="array" ref="K3">INDEX(LOGEST($F$2:$F$8,$C$2:$C$8),2)*INDEX(LOGEST($F$2:$F$8,$C$2:$C$8),1)^C3</f>
        <v>0.8039518384945552</v>
      </c>
    </row>
    <row r="4" spans="1:19" x14ac:dyDescent="0.35">
      <c r="A4" s="4" t="s">
        <v>16</v>
      </c>
      <c r="B4" s="4">
        <v>593824</v>
      </c>
      <c r="C4" s="11">
        <v>3433923</v>
      </c>
      <c r="D4" s="8">
        <v>32.96</v>
      </c>
      <c r="E4" s="15">
        <v>1.6</v>
      </c>
      <c r="F4" s="15">
        <v>1.34</v>
      </c>
      <c r="H4" s="15" cm="1">
        <f t="array" ref="H4">INDEX(LINEST($F$2:$F$8,$C$2:$C$8),1)*C4 + INDEX(LINEST($F$2:$F$8,$C$2:$C$8),2)</f>
        <v>1.5999620719112309</v>
      </c>
      <c r="I4" s="15">
        <f t="shared" si="0"/>
        <v>1.8156789404696667</v>
      </c>
      <c r="J4" s="17" cm="1">
        <f t="array" ref="J4">INDEX(LINEST($F$2:$F$8,$C$2:$C$8^{1,2}),3)+INDEX(LINEST($F$2:$F$8,$C$2:$C$8^{1,2}),2)*C4+INDEX(LINEST($F$2:$F$8,$C$2:$C$8^{1,2}),1)*C4^2</f>
        <v>1.6019330826046154</v>
      </c>
      <c r="K4" s="15" cm="1">
        <f t="array" ref="K4">INDEX(LOGEST($F$2:$F$8,$C$2:$C$8),2)*INDEX(LOGEST($F$2:$F$8,$C$2:$C$8),1)^C4</f>
        <v>1.1823617409999805</v>
      </c>
    </row>
    <row r="5" spans="1:19" x14ac:dyDescent="0.35">
      <c r="A5" s="4" t="s">
        <v>13</v>
      </c>
      <c r="B5" s="4">
        <v>633257</v>
      </c>
      <c r="C5" s="11">
        <v>3671704</v>
      </c>
      <c r="D5" s="8">
        <v>38.92</v>
      </c>
      <c r="E5" s="5">
        <v>1.71</v>
      </c>
      <c r="F5" s="15">
        <v>1.5</v>
      </c>
      <c r="H5" s="15" cm="1">
        <f t="array" ref="H5">INDEX(LINEST($F$2:$F$8,$C$2:$C$8),1)*C5 + INDEX(LINEST($F$2:$F$8,$C$2:$C$8),2)</f>
        <v>1.801565334264152</v>
      </c>
      <c r="I5" s="15">
        <f t="shared" si="0"/>
        <v>2.120252649628938</v>
      </c>
      <c r="J5" s="17" cm="1">
        <f t="array" ref="J5">INDEX(LINEST($F$2:$F$8,$C$2:$C$8^{1,2}),3)+INDEX(LINEST($F$2:$F$8,$C$2:$C$8^{1,2}),2)*C5+INDEX(LINEST($F$2:$F$8,$C$2:$C$8^{1,2}),1)*C5^2</f>
        <v>1.8043007579627133</v>
      </c>
      <c r="K5" s="15" cm="1">
        <f t="array" ref="K5">INDEX(LOGEST($F$2:$F$8,$C$2:$C$8),2)*INDEX(LOGEST($F$2:$F$8,$C$2:$C$8),1)^C5</f>
        <v>1.2733699507918461</v>
      </c>
      <c r="R5" s="14"/>
      <c r="S5" s="14"/>
    </row>
    <row r="6" spans="1:19" x14ac:dyDescent="0.35">
      <c r="A6" s="2" t="s">
        <v>15</v>
      </c>
      <c r="B6" s="2">
        <v>757737</v>
      </c>
      <c r="C6" s="12">
        <v>4395559</v>
      </c>
      <c r="D6" s="9">
        <v>64.19</v>
      </c>
      <c r="E6" s="3">
        <v>2.91</v>
      </c>
      <c r="F6" s="17">
        <v>2.6</v>
      </c>
      <c r="H6" s="15" cm="1">
        <f t="array" ref="H6">INDEX(LINEST($F$2:$F$8,$C$2:$C$8),1)*C6 + INDEX(LINEST($F$2:$F$8,$C$2:$C$8),2)</f>
        <v>2.4152877488829554</v>
      </c>
      <c r="I6" s="15">
        <f t="shared" si="0"/>
        <v>2.9388124883155484</v>
      </c>
      <c r="J6" s="17" cm="1">
        <f t="array" ref="J6">INDEX(LINEST($F$2:$F$8,$C$2:$C$8^{1,2}),3)+INDEX(LINEST($F$2:$F$8,$C$2:$C$8^{1,2}),2)*C6+INDEX(LINEST($F$2:$F$8,$C$2:$C$8^{1,2}),1)*C6^2</f>
        <v>2.419893791239319</v>
      </c>
      <c r="K6" s="15" cm="1">
        <f t="array" ref="K6">INDEX(LOGEST($F$2:$F$8,$C$2:$C$8),2)*INDEX(LOGEST($F$2:$F$8,$C$2:$C$8),1)^C6</f>
        <v>1.5958460462741897</v>
      </c>
    </row>
    <row r="7" spans="1:19" x14ac:dyDescent="0.35">
      <c r="A7" s="2" t="s">
        <v>17</v>
      </c>
      <c r="B7" s="2">
        <v>1447969</v>
      </c>
      <c r="C7" s="12">
        <v>8388766</v>
      </c>
      <c r="D7" s="9">
        <v>206.63</v>
      </c>
      <c r="E7" s="3">
        <v>5.1100000000000003</v>
      </c>
      <c r="F7" s="17">
        <v>6.1</v>
      </c>
      <c r="H7" s="15" cm="1">
        <f t="array" ref="H7">INDEX(LINEST($F$2:$F$8,$C$2:$C$8),1)*C7 + INDEX(LINEST($F$2:$F$8,$C$2:$C$8),2)</f>
        <v>5.8009390769979889</v>
      </c>
      <c r="I7" s="15">
        <f t="shared" si="0"/>
        <v>5.8788899807604764</v>
      </c>
      <c r="J7" s="17" cm="1">
        <f t="array" ref="J7">INDEX(LINEST($F$2:$F$8,$C$2:$C$8^{1,2}),3)+INDEX(LINEST($F$2:$F$8,$C$2:$C$8^{1,2}),2)*C7+INDEX(LINEST($F$2:$F$8,$C$2:$C$8^{1,2}),1)*C7^2</f>
        <v>5.8035138844992131</v>
      </c>
      <c r="K7" s="15" cm="1">
        <f t="array" ref="K7">INDEX(LOGEST($F$2:$F$8,$C$2:$C$8),2)*INDEX(LOGEST($F$2:$F$8,$C$2:$C$8),1)^C7</f>
        <v>5.5439207245117812</v>
      </c>
    </row>
    <row r="8" spans="1:19" x14ac:dyDescent="0.35">
      <c r="A8" s="2" t="s">
        <v>11</v>
      </c>
      <c r="B8" s="2">
        <v>1720765</v>
      </c>
      <c r="C8" s="12">
        <v>10023369</v>
      </c>
      <c r="D8" s="9">
        <v>264.95</v>
      </c>
      <c r="E8" s="3">
        <v>4.95</v>
      </c>
      <c r="F8" s="17">
        <v>7</v>
      </c>
      <c r="H8" s="15" cm="1">
        <f t="array" ref="H8">INDEX(LINEST($F$2:$F$8,$C$2:$C$8),1)*C8 + INDEX(LINEST($F$2:$F$8,$C$2:$C$8),2)</f>
        <v>7.1868416404991597</v>
      </c>
      <c r="I8" s="15">
        <f t="shared" si="0"/>
        <v>6.688747315333913</v>
      </c>
      <c r="J8" s="17" cm="1">
        <f t="array" ref="J8">INDEX(LINEST($F$2:$F$8,$C$2:$C$8^{1,2}),3)+INDEX(LINEST($F$2:$F$8,$C$2:$C$8^{1,2}),2)*C8+INDEX(LINEST($F$2:$F$8,$C$2:$C$8^{1,2}),1)*C8^2</f>
        <v>7.1825531488389167</v>
      </c>
      <c r="K8" s="15" cm="1">
        <f t="array" ref="K8">INDEX(LOGEST($F$2:$F$8,$C$2:$C$8),2)*INDEX(LOGEST($F$2:$F$8,$C$2:$C$8),1)^C8</f>
        <v>9.2300050121690944</v>
      </c>
    </row>
  </sheetData>
  <conditionalFormatting sqref="H2:K3">
    <cfRule type="colorScale" priority="6">
      <colorScale>
        <cfvo type="num" val="$F$2-$N$2"/>
        <cfvo type="num" val="$F$2"/>
        <cfvo type="num" val="$F$2+$N$2"/>
        <color rgb="FFFF9B9B"/>
        <color theme="9" tint="0.39997558519241921"/>
        <color rgb="FFFF9B9B"/>
      </colorScale>
    </cfRule>
  </conditionalFormatting>
  <conditionalFormatting sqref="H4:K4">
    <cfRule type="colorScale" priority="5">
      <colorScale>
        <cfvo type="num" val="$F$4-$N$2"/>
        <cfvo type="num" val="$F$4"/>
        <cfvo type="num" val="$F$4+$N$2"/>
        <color rgb="FFFF9B9B"/>
        <color theme="9" tint="0.39997558519241921"/>
        <color rgb="FFFF9B9B"/>
      </colorScale>
    </cfRule>
  </conditionalFormatting>
  <conditionalFormatting sqref="H5:K5">
    <cfRule type="colorScale" priority="4">
      <colorScale>
        <cfvo type="num" val="$F$5-$N$2"/>
        <cfvo type="num" val="$F$5"/>
        <cfvo type="num" val="$F$5+$N$2"/>
        <color rgb="FFFF9B9B"/>
        <color theme="9" tint="0.39997558519241921"/>
        <color rgb="FFFF9B9B"/>
      </colorScale>
    </cfRule>
  </conditionalFormatting>
  <conditionalFormatting sqref="H6:K6">
    <cfRule type="colorScale" priority="3">
      <colorScale>
        <cfvo type="num" val="$F$6-$N$2"/>
        <cfvo type="num" val="$F$6"/>
        <cfvo type="num" val="$F$6+$N$2"/>
        <color rgb="FFFF9B9B"/>
        <color theme="9" tint="0.39997558519241921"/>
        <color rgb="FFFF9B9B"/>
      </colorScale>
    </cfRule>
  </conditionalFormatting>
  <conditionalFormatting sqref="H7:K7">
    <cfRule type="colorScale" priority="2">
      <colorScale>
        <cfvo type="num" val="$F$7-$N$2"/>
        <cfvo type="num" val="$F$7"/>
        <cfvo type="num" val="$F$7+$N$2"/>
        <color rgb="FFFF9B9B"/>
        <color theme="9" tint="0.39997558519241921"/>
        <color rgb="FFFF9B9B"/>
      </colorScale>
    </cfRule>
  </conditionalFormatting>
  <conditionalFormatting sqref="H8:K8">
    <cfRule type="colorScale" priority="1">
      <colorScale>
        <cfvo type="num" val="$F$8-$N$2"/>
        <cfvo type="num" val="$F$8"/>
        <cfvo type="num" val="$F$8+$N$2"/>
        <color rgb="FFFF9B9B"/>
        <color theme="9" tint="0.39997558519241921"/>
        <color rgb="FFFF9B9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Kyler Howard</dc:creator>
  <cp:lastModifiedBy>Kyler Howard</cp:lastModifiedBy>
  <dcterms:created xsi:type="dcterms:W3CDTF">2024-10-29T16:10:42Z</dcterms:created>
  <dcterms:modified xsi:type="dcterms:W3CDTF">2024-11-28T01:26:05Z</dcterms:modified>
</cp:coreProperties>
</file>