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ab63ab47daf7fe/School/Colorado State/Research/Dr. Mueller/FEM/OOEIT_testing/"/>
    </mc:Choice>
  </mc:AlternateContent>
  <xr:revisionPtr revIDLastSave="51" documentId="8_{C480FE1E-BF0B-4A7B-826E-A1F057ADFC25}" xr6:coauthVersionLast="47" xr6:coauthVersionMax="47" xr10:uidLastSave="{07C2536D-9FE2-4B7B-BD93-86AFA9BE2B07}"/>
  <bookViews>
    <workbookView minimized="1" xWindow="20595" yWindow="3735" windowWidth="2655" windowHeight="2670" xr2:uid="{59DC5106-F63F-4342-8810-948B16560F6C}"/>
  </bookViews>
  <sheets>
    <sheet name="gmres &amp; ilu('nofill')" sheetId="3" r:id="rId1"/>
    <sheet name="gmres" sheetId="1" r:id="rId2"/>
    <sheet name="lsq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3" l="1"/>
  <c r="D7" i="3"/>
  <c r="D6" i="3"/>
  <c r="D5" i="3"/>
  <c r="D4" i="3"/>
  <c r="D3" i="3"/>
  <c r="D12" i="2"/>
  <c r="D8" i="2"/>
  <c r="D9" i="2"/>
  <c r="D10" i="2"/>
  <c r="D7" i="2"/>
  <c r="D4" i="2"/>
  <c r="D5" i="2"/>
  <c r="D6" i="2"/>
  <c r="D11" i="2"/>
  <c r="D3" i="2"/>
  <c r="D24" i="2"/>
  <c r="D2" i="2"/>
  <c r="D21" i="1"/>
  <c r="D4" i="1"/>
  <c r="D5" i="1"/>
  <c r="D6" i="1"/>
  <c r="D7" i="1"/>
  <c r="D8" i="1"/>
  <c r="D3" i="1"/>
</calcChain>
</file>

<file path=xl/sharedStrings.xml><?xml version="1.0" encoding="utf-8"?>
<sst xmlns="http://schemas.openxmlformats.org/spreadsheetml/2006/main" count="17" uniqueCount="6">
  <si>
    <t>Iterations</t>
  </si>
  <si>
    <t>Residual</t>
  </si>
  <si>
    <t>Time (s)</t>
  </si>
  <si>
    <t>Time (min)</t>
  </si>
  <si>
    <t>A\b control method</t>
  </si>
  <si>
    <t>No Preconditioner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</si>
</sst>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'gmres &amp; ilu(''nofill'')'!$A$3:$A$8</c:f>
              <c:numCache>
                <c:formatCode>General</c:formatCode>
                <c:ptCount val="6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434</c:v>
                </c:pt>
              </c:numCache>
            </c:numRef>
          </c:xVal>
          <c:yVal>
            <c:numRef>
              <c:f>'gmres &amp; ilu(''nofill'')'!$B$3:$B$8</c:f>
              <c:numCache>
                <c:formatCode>General</c:formatCode>
                <c:ptCount val="6"/>
                <c:pt idx="0">
                  <c:v>0.47</c:v>
                </c:pt>
                <c:pt idx="1">
                  <c:v>7.4999999999999997E-2</c:v>
                </c:pt>
                <c:pt idx="2">
                  <c:v>8.5000000000000006E-3</c:v>
                </c:pt>
                <c:pt idx="3" formatCode="0.00E+00">
                  <c:v>5.2000000000000002E-6</c:v>
                </c:pt>
                <c:pt idx="4" formatCode="0.00E+00">
                  <c:v>1.7E-12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BA-42B1-BD86-1ADCBD427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002543"/>
        <c:axId val="1153996783"/>
      </c:scatterChart>
      <c:valAx>
        <c:axId val="115400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996783"/>
        <c:crosses val="autoZero"/>
        <c:crossBetween val="midCat"/>
      </c:valAx>
      <c:valAx>
        <c:axId val="115399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002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gmres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'gmres &amp; ilu(''nofill'')'!$A$3:$A$8</c:f>
              <c:numCache>
                <c:formatCode>General</c:formatCode>
                <c:ptCount val="6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434</c:v>
                </c:pt>
              </c:numCache>
            </c:numRef>
          </c:xVal>
          <c:yVal>
            <c:numRef>
              <c:f>'gmres &amp; ilu(''nofill'')'!$C$3:$C$8</c:f>
              <c:numCache>
                <c:formatCode>General</c:formatCode>
                <c:ptCount val="6"/>
                <c:pt idx="0">
                  <c:v>1.88</c:v>
                </c:pt>
                <c:pt idx="1">
                  <c:v>10.29</c:v>
                </c:pt>
                <c:pt idx="2">
                  <c:v>26.05</c:v>
                </c:pt>
                <c:pt idx="3">
                  <c:v>138.87</c:v>
                </c:pt>
                <c:pt idx="4">
                  <c:v>382.23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F9-418B-8F3E-F7B2A2DBE7A3}"/>
            </c:ext>
          </c:extLst>
        </c:ser>
        <c:ser>
          <c:idx val="1"/>
          <c:order val="1"/>
          <c:tx>
            <c:v>Standard Method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5"/>
              <c:pt idx="0">
                <c:v>10</c:v>
              </c:pt>
              <c:pt idx="1">
                <c:v>50</c:v>
              </c:pt>
              <c:pt idx="2">
                <c:v>100</c:v>
              </c:pt>
              <c:pt idx="3">
                <c:v>250</c:v>
              </c:pt>
              <c:pt idx="4">
                <c:v>434</c:v>
              </c:pt>
            </c:numLit>
          </c:xVal>
          <c:yVal>
            <c:numLit>
              <c:formatCode>General</c:formatCode>
              <c:ptCount val="5"/>
              <c:pt idx="0">
                <c:v>967</c:v>
              </c:pt>
              <c:pt idx="1">
                <c:v>967</c:v>
              </c:pt>
              <c:pt idx="2">
                <c:v>967</c:v>
              </c:pt>
              <c:pt idx="3">
                <c:v>967</c:v>
              </c:pt>
              <c:pt idx="4">
                <c:v>967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2F9-418B-8F3E-F7B2A2DBE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777839"/>
        <c:axId val="1218774959"/>
      </c:scatterChart>
      <c:valAx>
        <c:axId val="121877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774959"/>
        <c:crosses val="autoZero"/>
        <c:crossBetween val="midCat"/>
      </c:valAx>
      <c:valAx>
        <c:axId val="121877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77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'gmres &amp; ilu(''nofill'')'!$A$3:$A$8</c:f>
              <c:numCache>
                <c:formatCode>General</c:formatCode>
                <c:ptCount val="6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434</c:v>
                </c:pt>
              </c:numCache>
            </c:numRef>
          </c:xVal>
          <c:yVal>
            <c:numRef>
              <c:f>'gmres &amp; ilu(''nofill'')'!$B$3:$B$8</c:f>
              <c:numCache>
                <c:formatCode>General</c:formatCode>
                <c:ptCount val="6"/>
                <c:pt idx="0">
                  <c:v>0.47</c:v>
                </c:pt>
                <c:pt idx="1">
                  <c:v>7.4999999999999997E-2</c:v>
                </c:pt>
                <c:pt idx="2">
                  <c:v>8.5000000000000006E-3</c:v>
                </c:pt>
                <c:pt idx="3" formatCode="0.00E+00">
                  <c:v>5.2000000000000002E-6</c:v>
                </c:pt>
                <c:pt idx="4" formatCode="0.00E+00">
                  <c:v>1.7E-12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25-44F2-990B-75C1C513F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002543"/>
        <c:axId val="1153996783"/>
      </c:scatterChart>
      <c:valAx>
        <c:axId val="115400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996783"/>
        <c:crosses val="autoZero"/>
        <c:crossBetween val="midCat"/>
      </c:valAx>
      <c:valAx>
        <c:axId val="115399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002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gmres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'gmres &amp; ilu(''nofill'')'!$A$3:$A$8</c:f>
              <c:numCache>
                <c:formatCode>General</c:formatCode>
                <c:ptCount val="6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434</c:v>
                </c:pt>
              </c:numCache>
            </c:numRef>
          </c:xVal>
          <c:yVal>
            <c:numRef>
              <c:f>'gmres &amp; ilu(''nofill'')'!$C$3:$C$8</c:f>
              <c:numCache>
                <c:formatCode>General</c:formatCode>
                <c:ptCount val="6"/>
                <c:pt idx="0">
                  <c:v>1.88</c:v>
                </c:pt>
                <c:pt idx="1">
                  <c:v>10.29</c:v>
                </c:pt>
                <c:pt idx="2">
                  <c:v>26.05</c:v>
                </c:pt>
                <c:pt idx="3">
                  <c:v>138.87</c:v>
                </c:pt>
                <c:pt idx="4">
                  <c:v>382.23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53-4560-8108-0370A629833F}"/>
            </c:ext>
          </c:extLst>
        </c:ser>
        <c:ser>
          <c:idx val="1"/>
          <c:order val="1"/>
          <c:tx>
            <c:v>Standard Method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6"/>
              <c:pt idx="0">
                <c:v>10</c:v>
              </c:pt>
              <c:pt idx="1">
                <c:v>100</c:v>
              </c:pt>
              <c:pt idx="2">
                <c:v>250</c:v>
              </c:pt>
              <c:pt idx="3">
                <c:v>500</c:v>
              </c:pt>
              <c:pt idx="4">
                <c:v>750</c:v>
              </c:pt>
              <c:pt idx="5">
                <c:v>1000</c:v>
              </c:pt>
            </c:numLit>
          </c:xVal>
          <c:yVal>
            <c:numLit>
              <c:formatCode>General</c:formatCode>
              <c:ptCount val="6"/>
              <c:pt idx="0">
                <c:v>967</c:v>
              </c:pt>
              <c:pt idx="1">
                <c:v>967</c:v>
              </c:pt>
              <c:pt idx="2">
                <c:v>967</c:v>
              </c:pt>
              <c:pt idx="3">
                <c:v>967</c:v>
              </c:pt>
              <c:pt idx="4">
                <c:v>967</c:v>
              </c:pt>
              <c:pt idx="5">
                <c:v>967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053-4560-8108-0370A6298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777839"/>
        <c:axId val="1218774959"/>
      </c:scatterChart>
      <c:valAx>
        <c:axId val="121877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774959"/>
        <c:crosses val="autoZero"/>
        <c:crossBetween val="midCat"/>
      </c:valAx>
      <c:valAx>
        <c:axId val="121877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77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gmres!$A$3:$A$8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750</c:v>
                </c:pt>
                <c:pt idx="5">
                  <c:v>1000</c:v>
                </c:pt>
              </c:numCache>
            </c:numRef>
          </c:xVal>
          <c:yVal>
            <c:numRef>
              <c:f>gmres!$B$3:$B$8</c:f>
              <c:numCache>
                <c:formatCode>General</c:formatCode>
                <c:ptCount val="6"/>
                <c:pt idx="0">
                  <c:v>0.11</c:v>
                </c:pt>
                <c:pt idx="1">
                  <c:v>1.6E-2</c:v>
                </c:pt>
                <c:pt idx="2">
                  <c:v>5.7000000000000002E-3</c:v>
                </c:pt>
                <c:pt idx="3">
                  <c:v>2.2000000000000001E-3</c:v>
                </c:pt>
                <c:pt idx="4">
                  <c:v>1E-3</c:v>
                </c:pt>
                <c:pt idx="5">
                  <c:v>4.2999999999999999E-4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67-4B37-9279-B2961508F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002543"/>
        <c:axId val="1153996783"/>
      </c:scatterChart>
      <c:valAx>
        <c:axId val="115400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996783"/>
        <c:crosses val="autoZero"/>
        <c:crossBetween val="midCat"/>
      </c:valAx>
      <c:valAx>
        <c:axId val="115399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002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gmres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gmres!$A$3:$A$8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750</c:v>
                </c:pt>
                <c:pt idx="5">
                  <c:v>1000</c:v>
                </c:pt>
              </c:numCache>
            </c:numRef>
          </c:xVal>
          <c:yVal>
            <c:numRef>
              <c:f>gmres!$C$3:$C$8</c:f>
              <c:numCache>
                <c:formatCode>General</c:formatCode>
                <c:ptCount val="6"/>
                <c:pt idx="0">
                  <c:v>3.01</c:v>
                </c:pt>
                <c:pt idx="1">
                  <c:v>21.12</c:v>
                </c:pt>
                <c:pt idx="2">
                  <c:v>106.57</c:v>
                </c:pt>
                <c:pt idx="3">
                  <c:v>424.11</c:v>
                </c:pt>
                <c:pt idx="4">
                  <c:v>919.34</c:v>
                </c:pt>
                <c:pt idx="5">
                  <c:v>1575.94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C8-4257-9EBC-2B37AB2F2B10}"/>
            </c:ext>
          </c:extLst>
        </c:ser>
        <c:ser>
          <c:idx val="1"/>
          <c:order val="1"/>
          <c:tx>
            <c:v>Standard Method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6"/>
              <c:pt idx="0">
                <c:v>10</c:v>
              </c:pt>
              <c:pt idx="1">
                <c:v>100</c:v>
              </c:pt>
              <c:pt idx="2">
                <c:v>250</c:v>
              </c:pt>
              <c:pt idx="3">
                <c:v>500</c:v>
              </c:pt>
              <c:pt idx="4">
                <c:v>750</c:v>
              </c:pt>
              <c:pt idx="5">
                <c:v>1000</c:v>
              </c:pt>
            </c:numLit>
          </c:xVal>
          <c:yVal>
            <c:numLit>
              <c:formatCode>General</c:formatCode>
              <c:ptCount val="6"/>
              <c:pt idx="0">
                <c:v>967</c:v>
              </c:pt>
              <c:pt idx="1">
                <c:v>967</c:v>
              </c:pt>
              <c:pt idx="2">
                <c:v>967</c:v>
              </c:pt>
              <c:pt idx="3">
                <c:v>967</c:v>
              </c:pt>
              <c:pt idx="4">
                <c:v>967</c:v>
              </c:pt>
              <c:pt idx="5">
                <c:v>967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9C8-4257-9EBC-2B37AB2F2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777839"/>
        <c:axId val="1218774959"/>
      </c:scatterChart>
      <c:valAx>
        <c:axId val="121877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774959"/>
        <c:crosses val="autoZero"/>
        <c:crossBetween val="midCat"/>
      </c:valAx>
      <c:valAx>
        <c:axId val="121877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77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gmres!$A$3:$A$8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750</c:v>
                </c:pt>
                <c:pt idx="5">
                  <c:v>1000</c:v>
                </c:pt>
              </c:numCache>
            </c:numRef>
          </c:xVal>
          <c:yVal>
            <c:numRef>
              <c:f>gmres!$B$3:$B$8</c:f>
              <c:numCache>
                <c:formatCode>General</c:formatCode>
                <c:ptCount val="6"/>
                <c:pt idx="0">
                  <c:v>0.11</c:v>
                </c:pt>
                <c:pt idx="1">
                  <c:v>1.6E-2</c:v>
                </c:pt>
                <c:pt idx="2">
                  <c:v>5.7000000000000002E-3</c:v>
                </c:pt>
                <c:pt idx="3">
                  <c:v>2.2000000000000001E-3</c:v>
                </c:pt>
                <c:pt idx="4">
                  <c:v>1E-3</c:v>
                </c:pt>
                <c:pt idx="5">
                  <c:v>4.2999999999999999E-4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4D-4C4F-AC2C-60C42CF9A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002543"/>
        <c:axId val="1153996783"/>
      </c:scatterChart>
      <c:valAx>
        <c:axId val="115400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996783"/>
        <c:crosses val="autoZero"/>
        <c:crossBetween val="midCat"/>
      </c:valAx>
      <c:valAx>
        <c:axId val="115399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002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gmres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gmres!$A$3:$A$8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750</c:v>
                </c:pt>
                <c:pt idx="5">
                  <c:v>1000</c:v>
                </c:pt>
              </c:numCache>
            </c:numRef>
          </c:xVal>
          <c:yVal>
            <c:numRef>
              <c:f>gmres!$C$3:$C$8</c:f>
              <c:numCache>
                <c:formatCode>General</c:formatCode>
                <c:ptCount val="6"/>
                <c:pt idx="0">
                  <c:v>3.01</c:v>
                </c:pt>
                <c:pt idx="1">
                  <c:v>21.12</c:v>
                </c:pt>
                <c:pt idx="2">
                  <c:v>106.57</c:v>
                </c:pt>
                <c:pt idx="3">
                  <c:v>424.11</c:v>
                </c:pt>
                <c:pt idx="4">
                  <c:v>919.34</c:v>
                </c:pt>
                <c:pt idx="5">
                  <c:v>1575.94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3B-49EA-AC2A-606109FDE855}"/>
            </c:ext>
          </c:extLst>
        </c:ser>
        <c:ser>
          <c:idx val="1"/>
          <c:order val="1"/>
          <c:tx>
            <c:v>Standard Method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6"/>
              <c:pt idx="0">
                <c:v>10</c:v>
              </c:pt>
              <c:pt idx="1">
                <c:v>100</c:v>
              </c:pt>
              <c:pt idx="2">
                <c:v>250</c:v>
              </c:pt>
              <c:pt idx="3">
                <c:v>500</c:v>
              </c:pt>
              <c:pt idx="4">
                <c:v>750</c:v>
              </c:pt>
              <c:pt idx="5">
                <c:v>1000</c:v>
              </c:pt>
            </c:numLit>
          </c:xVal>
          <c:yVal>
            <c:numLit>
              <c:formatCode>General</c:formatCode>
              <c:ptCount val="6"/>
              <c:pt idx="0">
                <c:v>967</c:v>
              </c:pt>
              <c:pt idx="1">
                <c:v>967</c:v>
              </c:pt>
              <c:pt idx="2">
                <c:v>967</c:v>
              </c:pt>
              <c:pt idx="3">
                <c:v>967</c:v>
              </c:pt>
              <c:pt idx="4">
                <c:v>967</c:v>
              </c:pt>
              <c:pt idx="5">
                <c:v>967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43B-49EA-AC2A-606109FDE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777839"/>
        <c:axId val="1218774959"/>
      </c:scatterChart>
      <c:valAx>
        <c:axId val="121877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774959"/>
        <c:crosses val="autoZero"/>
        <c:crossBetween val="midCat"/>
      </c:valAx>
      <c:valAx>
        <c:axId val="121877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77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lsqr!$A$2:$A$12</c:f>
              <c:numCache>
                <c:formatCode>General</c:formatCode>
                <c:ptCount val="11"/>
                <c:pt idx="0">
                  <c:v>10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750</c:v>
                </c:pt>
                <c:pt idx="5">
                  <c:v>1000</c:v>
                </c:pt>
                <c:pt idx="6">
                  <c:v>2500</c:v>
                </c:pt>
                <c:pt idx="7">
                  <c:v>5000</c:v>
                </c:pt>
                <c:pt idx="8">
                  <c:v>7500</c:v>
                </c:pt>
                <c:pt idx="9">
                  <c:v>10000</c:v>
                </c:pt>
                <c:pt idx="10">
                  <c:v>50000</c:v>
                </c:pt>
              </c:numCache>
            </c:numRef>
          </c:xVal>
          <c:yVal>
            <c:numRef>
              <c:f>lsqr!$B$2:$B$12</c:f>
              <c:numCache>
                <c:formatCode>General</c:formatCode>
                <c:ptCount val="11"/>
                <c:pt idx="0">
                  <c:v>0.13</c:v>
                </c:pt>
                <c:pt idx="1">
                  <c:v>0.1</c:v>
                </c:pt>
                <c:pt idx="2">
                  <c:v>8.6999999999999994E-2</c:v>
                </c:pt>
                <c:pt idx="3">
                  <c:v>7.0000000000000007E-2</c:v>
                </c:pt>
                <c:pt idx="4">
                  <c:v>6.0999999999999999E-2</c:v>
                </c:pt>
                <c:pt idx="5">
                  <c:v>5.5E-2</c:v>
                </c:pt>
                <c:pt idx="6">
                  <c:v>3.6999999999999998E-2</c:v>
                </c:pt>
                <c:pt idx="7">
                  <c:v>2.7E-2</c:v>
                </c:pt>
                <c:pt idx="8">
                  <c:v>2.1999999999999999E-2</c:v>
                </c:pt>
                <c:pt idx="9">
                  <c:v>0.02</c:v>
                </c:pt>
                <c:pt idx="10">
                  <c:v>9.5999999999999992E-3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E4-44D7-BDC4-AA8C82E89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002543"/>
        <c:axId val="1153996783"/>
      </c:scatterChart>
      <c:valAx>
        <c:axId val="115400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996783"/>
        <c:crosses val="autoZero"/>
        <c:crossBetween val="midCat"/>
      </c:valAx>
      <c:valAx>
        <c:axId val="115399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002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lsqr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lsqr!$A$2:$A$12</c:f>
              <c:numCache>
                <c:formatCode>General</c:formatCode>
                <c:ptCount val="11"/>
                <c:pt idx="0">
                  <c:v>10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750</c:v>
                </c:pt>
                <c:pt idx="5">
                  <c:v>1000</c:v>
                </c:pt>
                <c:pt idx="6">
                  <c:v>2500</c:v>
                </c:pt>
                <c:pt idx="7">
                  <c:v>5000</c:v>
                </c:pt>
                <c:pt idx="8">
                  <c:v>7500</c:v>
                </c:pt>
                <c:pt idx="9">
                  <c:v>10000</c:v>
                </c:pt>
                <c:pt idx="10">
                  <c:v>50000</c:v>
                </c:pt>
              </c:numCache>
            </c:numRef>
          </c:xVal>
          <c:yVal>
            <c:numRef>
              <c:f>lsqr!$C$2:$C$12</c:f>
              <c:numCache>
                <c:formatCode>0.00</c:formatCode>
                <c:ptCount val="11"/>
                <c:pt idx="0">
                  <c:v>0.56999999999999995</c:v>
                </c:pt>
                <c:pt idx="1">
                  <c:v>3.9</c:v>
                </c:pt>
                <c:pt idx="2">
                  <c:v>9.7899999999999991</c:v>
                </c:pt>
                <c:pt idx="3">
                  <c:v>19.57</c:v>
                </c:pt>
                <c:pt idx="4">
                  <c:v>28.58</c:v>
                </c:pt>
                <c:pt idx="5">
                  <c:v>40.899500000000003</c:v>
                </c:pt>
                <c:pt idx="6">
                  <c:v>101.90900000000001</c:v>
                </c:pt>
                <c:pt idx="7">
                  <c:v>211.93</c:v>
                </c:pt>
                <c:pt idx="8">
                  <c:v>349.68</c:v>
                </c:pt>
                <c:pt idx="9">
                  <c:v>437.97</c:v>
                </c:pt>
                <c:pt idx="10">
                  <c:v>2110.6999999999998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A5-4B57-BA31-B80B9C99E8EA}"/>
            </c:ext>
          </c:extLst>
        </c:ser>
        <c:ser>
          <c:idx val="1"/>
          <c:order val="1"/>
          <c:tx>
            <c:v>Standard Method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lsqr!$A$2:$A$12</c:f>
              <c:numCache>
                <c:formatCode>General</c:formatCode>
                <c:ptCount val="11"/>
                <c:pt idx="0">
                  <c:v>10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750</c:v>
                </c:pt>
                <c:pt idx="5">
                  <c:v>1000</c:v>
                </c:pt>
                <c:pt idx="6">
                  <c:v>2500</c:v>
                </c:pt>
                <c:pt idx="7">
                  <c:v>5000</c:v>
                </c:pt>
                <c:pt idx="8">
                  <c:v>7500</c:v>
                </c:pt>
                <c:pt idx="9">
                  <c:v>10000</c:v>
                </c:pt>
                <c:pt idx="10">
                  <c:v>50000</c:v>
                </c:pt>
              </c:numCache>
            </c:numRef>
          </c:xVal>
          <c:yVal>
            <c:numLit>
              <c:formatCode>General</c:formatCode>
              <c:ptCount val="11"/>
              <c:pt idx="0">
                <c:v>967</c:v>
              </c:pt>
              <c:pt idx="1">
                <c:v>967</c:v>
              </c:pt>
              <c:pt idx="2">
                <c:v>967</c:v>
              </c:pt>
              <c:pt idx="3">
                <c:v>967</c:v>
              </c:pt>
              <c:pt idx="4">
                <c:v>976</c:v>
              </c:pt>
              <c:pt idx="5">
                <c:v>967</c:v>
              </c:pt>
              <c:pt idx="6">
                <c:v>967</c:v>
              </c:pt>
              <c:pt idx="7">
                <c:v>967</c:v>
              </c:pt>
              <c:pt idx="8">
                <c:v>967</c:v>
              </c:pt>
              <c:pt idx="9">
                <c:v>967</c:v>
              </c:pt>
              <c:pt idx="10">
                <c:v>967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AA5-4B57-BA31-B80B9C99E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777839"/>
        <c:axId val="1218774959"/>
      </c:scatterChart>
      <c:valAx>
        <c:axId val="121877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774959"/>
        <c:crosses val="autoZero"/>
        <c:crossBetween val="midCat"/>
      </c:valAx>
      <c:valAx>
        <c:axId val="121877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77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1</xdr:row>
      <xdr:rowOff>88900</xdr:rowOff>
    </xdr:from>
    <xdr:to>
      <xdr:col>12</xdr:col>
      <xdr:colOff>276225</xdr:colOff>
      <xdr:row>18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70CEB-184E-43A9-8864-35D0E6E7B6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460375</xdr:colOff>
      <xdr:row>1</xdr:row>
      <xdr:rowOff>88900</xdr:rowOff>
    </xdr:from>
    <xdr:to>
      <xdr:col>23</xdr:col>
      <xdr:colOff>426358</xdr:colOff>
      <xdr:row>18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242831-CAA7-47F4-89C1-C9521E9BA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581025</xdr:colOff>
      <xdr:row>1</xdr:row>
      <xdr:rowOff>88900</xdr:rowOff>
    </xdr:from>
    <xdr:to>
      <xdr:col>38</xdr:col>
      <xdr:colOff>276225</xdr:colOff>
      <xdr:row>18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F9CBEF-DAC1-43C8-83E5-7EDB62851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460375</xdr:colOff>
      <xdr:row>1</xdr:row>
      <xdr:rowOff>88900</xdr:rowOff>
    </xdr:from>
    <xdr:to>
      <xdr:col>49</xdr:col>
      <xdr:colOff>426358</xdr:colOff>
      <xdr:row>18</xdr:row>
      <xdr:rowOff>69850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DF181D-2AFB-4267-87B3-8C09D7DF5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15876</xdr:colOff>
      <xdr:row>19</xdr:row>
      <xdr:rowOff>111125</xdr:rowOff>
    </xdr:from>
    <xdr:to>
      <xdr:col>19</xdr:col>
      <xdr:colOff>31750</xdr:colOff>
      <xdr:row>52</xdr:row>
      <xdr:rowOff>24450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F90E0F9-BFFD-CAD8-7489-AF1EB3B9D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876" y="3730625"/>
          <a:ext cx="11477624" cy="6199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1</xdr:row>
      <xdr:rowOff>88900</xdr:rowOff>
    </xdr:from>
    <xdr:to>
      <xdr:col>12</xdr:col>
      <xdr:colOff>276225</xdr:colOff>
      <xdr:row>18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B7EBFC-C494-2ADE-05CA-537CF9A67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460375</xdr:colOff>
      <xdr:row>1</xdr:row>
      <xdr:rowOff>88900</xdr:rowOff>
    </xdr:from>
    <xdr:to>
      <xdr:col>23</xdr:col>
      <xdr:colOff>426358</xdr:colOff>
      <xdr:row>18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8B7A79-87AD-45DA-D1F5-8347E6748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27216</xdr:colOff>
      <xdr:row>20</xdr:row>
      <xdr:rowOff>163166</xdr:rowOff>
    </xdr:from>
    <xdr:to>
      <xdr:col>18</xdr:col>
      <xdr:colOff>601891</xdr:colOff>
      <xdr:row>54</xdr:row>
      <xdr:rowOff>101146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D13885-CE99-501A-CC13-33454EA10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216" y="3610309"/>
          <a:ext cx="11514818" cy="6106551"/>
        </a:xfrm>
        <a:prstGeom prst="rect">
          <a:avLst/>
        </a:prstGeom>
      </xdr:spPr>
    </xdr:pic>
    <xdr:clientData/>
  </xdr:twoCellAnchor>
  <xdr:twoCellAnchor>
    <xdr:from>
      <xdr:col>30</xdr:col>
      <xdr:colOff>581025</xdr:colOff>
      <xdr:row>1</xdr:row>
      <xdr:rowOff>88900</xdr:rowOff>
    </xdr:from>
    <xdr:to>
      <xdr:col>38</xdr:col>
      <xdr:colOff>276225</xdr:colOff>
      <xdr:row>18</xdr:row>
      <xdr:rowOff>69850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E3062CE-E4DA-431A-9A87-4181D31A3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460375</xdr:colOff>
      <xdr:row>1</xdr:row>
      <xdr:rowOff>88900</xdr:rowOff>
    </xdr:from>
    <xdr:to>
      <xdr:col>49</xdr:col>
      <xdr:colOff>426358</xdr:colOff>
      <xdr:row>18</xdr:row>
      <xdr:rowOff>69850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D322FA6-E8B9-423C-8427-50E4F03A4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0</xdr:row>
      <xdr:rowOff>88900</xdr:rowOff>
    </xdr:from>
    <xdr:to>
      <xdr:col>12</xdr:col>
      <xdr:colOff>276225</xdr:colOff>
      <xdr:row>21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39FCB8-83AE-4F50-B667-88979C09EC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460375</xdr:colOff>
      <xdr:row>0</xdr:row>
      <xdr:rowOff>88900</xdr:rowOff>
    </xdr:from>
    <xdr:to>
      <xdr:col>23</xdr:col>
      <xdr:colOff>426358</xdr:colOff>
      <xdr:row>21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76E701-1858-4DAA-8A43-0B1E659E5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101055</xdr:colOff>
      <xdr:row>23</xdr:row>
      <xdr:rowOff>37353</xdr:rowOff>
    </xdr:from>
    <xdr:to>
      <xdr:col>21</xdr:col>
      <xdr:colOff>145489</xdr:colOff>
      <xdr:row>60</xdr:row>
      <xdr:rowOff>53601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6AFEEC-4094-AF26-7E54-45C03748B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055" y="4332941"/>
          <a:ext cx="12908787" cy="69265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0035-A51C-4734-85C2-9005B39F11C6}">
  <dimension ref="A1:AD21"/>
  <sheetViews>
    <sheetView tabSelected="1" zoomScale="130" zoomScaleNormal="130" workbookViewId="0">
      <selection activeCell="D6" sqref="D6"/>
    </sheetView>
  </sheetViews>
  <sheetFormatPr defaultRowHeight="14.5" x14ac:dyDescent="0.35"/>
  <sheetData>
    <row r="1" spans="1:30" x14ac:dyDescent="0.35">
      <c r="A1" s="5" t="s">
        <v>5</v>
      </c>
      <c r="B1" s="5"/>
      <c r="C1" s="5"/>
      <c r="D1" s="5"/>
      <c r="AA1" s="5"/>
      <c r="AB1" s="5"/>
      <c r="AC1" s="5"/>
      <c r="AD1" s="5"/>
    </row>
    <row r="2" spans="1:30" x14ac:dyDescent="0.35">
      <c r="A2" t="s">
        <v>0</v>
      </c>
      <c r="B2" t="s">
        <v>1</v>
      </c>
      <c r="C2" t="s">
        <v>2</v>
      </c>
      <c r="D2" t="s">
        <v>3</v>
      </c>
    </row>
    <row r="3" spans="1:30" x14ac:dyDescent="0.35">
      <c r="A3">
        <v>10</v>
      </c>
      <c r="B3">
        <v>0.47</v>
      </c>
      <c r="C3">
        <v>1.88</v>
      </c>
      <c r="D3" s="1">
        <f>C3/60</f>
        <v>3.1333333333333331E-2</v>
      </c>
      <c r="AD3" s="1"/>
    </row>
    <row r="4" spans="1:30" x14ac:dyDescent="0.35">
      <c r="A4">
        <v>50</v>
      </c>
      <c r="B4">
        <v>7.4999999999999997E-2</v>
      </c>
      <c r="C4">
        <v>10.29</v>
      </c>
      <c r="D4" s="1">
        <f t="shared" ref="D4:D7" si="0">C4/60</f>
        <v>0.17149999999999999</v>
      </c>
      <c r="AD4" s="1"/>
    </row>
    <row r="5" spans="1:30" x14ac:dyDescent="0.35">
      <c r="A5">
        <v>100</v>
      </c>
      <c r="B5">
        <v>8.5000000000000006E-3</v>
      </c>
      <c r="C5">
        <v>26.05</v>
      </c>
      <c r="D5" s="1">
        <f t="shared" si="0"/>
        <v>0.4341666666666667</v>
      </c>
      <c r="AD5" s="1"/>
    </row>
    <row r="6" spans="1:30" x14ac:dyDescent="0.35">
      <c r="A6">
        <v>250</v>
      </c>
      <c r="B6" s="4">
        <v>5.2000000000000002E-6</v>
      </c>
      <c r="C6">
        <v>138.87</v>
      </c>
      <c r="D6" s="1">
        <f t="shared" si="0"/>
        <v>2.3145000000000002</v>
      </c>
      <c r="AD6" s="1"/>
    </row>
    <row r="7" spans="1:30" x14ac:dyDescent="0.35">
      <c r="A7">
        <v>434</v>
      </c>
      <c r="B7" s="4">
        <v>1.7E-12</v>
      </c>
      <c r="C7">
        <v>382.23</v>
      </c>
      <c r="D7" s="1">
        <f t="shared" si="0"/>
        <v>6.3705000000000007</v>
      </c>
      <c r="AD7" s="1"/>
    </row>
    <row r="8" spans="1:30" x14ac:dyDescent="0.35">
      <c r="D8" s="1"/>
      <c r="AD8" s="1"/>
    </row>
    <row r="20" spans="3:4" x14ac:dyDescent="0.35">
      <c r="C20" t="s">
        <v>4</v>
      </c>
    </row>
    <row r="21" spans="3:4" x14ac:dyDescent="0.35">
      <c r="C21" s="2">
        <v>967</v>
      </c>
      <c r="D21" s="3">
        <f>C21/60</f>
        <v>16.116666666666667</v>
      </c>
    </row>
  </sheetData>
  <mergeCells count="2">
    <mergeCell ref="A1:D1"/>
    <mergeCell ref="AA1:A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9984-F80B-4304-9AEE-B43EB4B0DA87}">
  <dimension ref="A1:D21"/>
  <sheetViews>
    <sheetView zoomScale="85" zoomScaleNormal="85" workbookViewId="0">
      <selection activeCell="AA18" sqref="AA18"/>
    </sheetView>
  </sheetViews>
  <sheetFormatPr defaultRowHeight="14.5" x14ac:dyDescent="0.35"/>
  <sheetData>
    <row r="1" spans="1:4" x14ac:dyDescent="0.35">
      <c r="A1" s="5" t="s">
        <v>5</v>
      </c>
      <c r="B1" s="5"/>
      <c r="C1" s="5"/>
      <c r="D1" s="5"/>
    </row>
    <row r="2" spans="1:4" x14ac:dyDescent="0.35">
      <c r="A2" t="s">
        <v>0</v>
      </c>
      <c r="B2" t="s">
        <v>1</v>
      </c>
      <c r="C2" t="s">
        <v>2</v>
      </c>
      <c r="D2" t="s">
        <v>3</v>
      </c>
    </row>
    <row r="3" spans="1:4" x14ac:dyDescent="0.35">
      <c r="A3">
        <v>10</v>
      </c>
      <c r="B3">
        <v>0.11</v>
      </c>
      <c r="C3">
        <v>3.01</v>
      </c>
      <c r="D3" s="1">
        <f>C3/60</f>
        <v>5.0166666666666665E-2</v>
      </c>
    </row>
    <row r="4" spans="1:4" x14ac:dyDescent="0.35">
      <c r="A4">
        <v>100</v>
      </c>
      <c r="B4">
        <v>1.6E-2</v>
      </c>
      <c r="C4">
        <v>21.12</v>
      </c>
      <c r="D4" s="1">
        <f t="shared" ref="D4:D8" si="0">C4/60</f>
        <v>0.35200000000000004</v>
      </c>
    </row>
    <row r="5" spans="1:4" x14ac:dyDescent="0.35">
      <c r="A5">
        <v>250</v>
      </c>
      <c r="B5">
        <v>5.7000000000000002E-3</v>
      </c>
      <c r="C5">
        <v>106.57</v>
      </c>
      <c r="D5" s="1">
        <f t="shared" si="0"/>
        <v>1.7761666666666664</v>
      </c>
    </row>
    <row r="6" spans="1:4" x14ac:dyDescent="0.35">
      <c r="A6">
        <v>500</v>
      </c>
      <c r="B6">
        <v>2.2000000000000001E-3</v>
      </c>
      <c r="C6">
        <v>424.11</v>
      </c>
      <c r="D6" s="1">
        <f t="shared" si="0"/>
        <v>7.0685000000000002</v>
      </c>
    </row>
    <row r="7" spans="1:4" x14ac:dyDescent="0.35">
      <c r="A7">
        <v>750</v>
      </c>
      <c r="B7">
        <v>1E-3</v>
      </c>
      <c r="C7">
        <v>919.34</v>
      </c>
      <c r="D7" s="1">
        <f t="shared" si="0"/>
        <v>15.322333333333335</v>
      </c>
    </row>
    <row r="8" spans="1:4" x14ac:dyDescent="0.35">
      <c r="A8">
        <v>1000</v>
      </c>
      <c r="B8">
        <v>4.2999999999999999E-4</v>
      </c>
      <c r="C8">
        <v>1575.94</v>
      </c>
      <c r="D8" s="1">
        <f t="shared" si="0"/>
        <v>26.265666666666668</v>
      </c>
    </row>
    <row r="20" spans="3:4" x14ac:dyDescent="0.35">
      <c r="C20" t="s">
        <v>4</v>
      </c>
    </row>
    <row r="21" spans="3:4" x14ac:dyDescent="0.35">
      <c r="C21" s="2">
        <v>967</v>
      </c>
      <c r="D21" s="3">
        <f>C21/60</f>
        <v>16.116666666666667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4E00-FD58-4238-AE5F-C3D5C0425A94}">
  <dimension ref="A1:D24"/>
  <sheetViews>
    <sheetView zoomScale="85" zoomScaleNormal="85" workbookViewId="0">
      <selection activeCell="C18" sqref="C1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</v>
      </c>
      <c r="B2">
        <v>0.13</v>
      </c>
      <c r="C2" s="1">
        <v>0.56999999999999995</v>
      </c>
      <c r="D2" s="1">
        <f>C2/60</f>
        <v>9.4999999999999998E-3</v>
      </c>
    </row>
    <row r="3" spans="1:4" x14ac:dyDescent="0.35">
      <c r="A3">
        <v>100</v>
      </c>
      <c r="B3">
        <v>0.1</v>
      </c>
      <c r="C3" s="1">
        <v>3.9</v>
      </c>
      <c r="D3" s="1">
        <f t="shared" ref="D3:D12" si="0">C3/60</f>
        <v>6.5000000000000002E-2</v>
      </c>
    </row>
    <row r="4" spans="1:4" x14ac:dyDescent="0.35">
      <c r="A4">
        <v>250</v>
      </c>
      <c r="B4">
        <v>8.6999999999999994E-2</v>
      </c>
      <c r="C4" s="1">
        <v>9.7899999999999991</v>
      </c>
      <c r="D4" s="1">
        <f t="shared" si="0"/>
        <v>0.16316666666666665</v>
      </c>
    </row>
    <row r="5" spans="1:4" x14ac:dyDescent="0.35">
      <c r="A5">
        <v>500</v>
      </c>
      <c r="B5">
        <v>7.0000000000000007E-2</v>
      </c>
      <c r="C5" s="1">
        <v>19.57</v>
      </c>
      <c r="D5" s="1">
        <f t="shared" si="0"/>
        <v>0.32616666666666666</v>
      </c>
    </row>
    <row r="6" spans="1:4" x14ac:dyDescent="0.35">
      <c r="A6">
        <v>750</v>
      </c>
      <c r="B6">
        <v>6.0999999999999999E-2</v>
      </c>
      <c r="C6" s="1">
        <v>28.58</v>
      </c>
      <c r="D6" s="1">
        <f t="shared" si="0"/>
        <v>0.47633333333333333</v>
      </c>
    </row>
    <row r="7" spans="1:4" x14ac:dyDescent="0.35">
      <c r="A7">
        <v>1000</v>
      </c>
      <c r="B7">
        <v>5.5E-2</v>
      </c>
      <c r="C7" s="1">
        <v>40.899500000000003</v>
      </c>
      <c r="D7" s="1">
        <f t="shared" si="0"/>
        <v>0.68165833333333337</v>
      </c>
    </row>
    <row r="8" spans="1:4" x14ac:dyDescent="0.35">
      <c r="A8">
        <v>2500</v>
      </c>
      <c r="B8">
        <v>3.6999999999999998E-2</v>
      </c>
      <c r="C8" s="1">
        <v>101.90900000000001</v>
      </c>
      <c r="D8" s="1">
        <f t="shared" si="0"/>
        <v>1.6984833333333333</v>
      </c>
    </row>
    <row r="9" spans="1:4" x14ac:dyDescent="0.35">
      <c r="A9">
        <v>5000</v>
      </c>
      <c r="B9">
        <v>2.7E-2</v>
      </c>
      <c r="C9" s="1">
        <v>211.93</v>
      </c>
      <c r="D9" s="1">
        <f t="shared" si="0"/>
        <v>3.5321666666666669</v>
      </c>
    </row>
    <row r="10" spans="1:4" x14ac:dyDescent="0.35">
      <c r="A10">
        <v>7500</v>
      </c>
      <c r="B10">
        <v>2.1999999999999999E-2</v>
      </c>
      <c r="C10" s="1">
        <v>349.68</v>
      </c>
      <c r="D10" s="1">
        <f t="shared" si="0"/>
        <v>5.8280000000000003</v>
      </c>
    </row>
    <row r="11" spans="1:4" x14ac:dyDescent="0.35">
      <c r="A11">
        <v>10000</v>
      </c>
      <c r="B11">
        <v>0.02</v>
      </c>
      <c r="C11" s="1">
        <v>437.97</v>
      </c>
      <c r="D11" s="1">
        <f t="shared" si="0"/>
        <v>7.2995000000000001</v>
      </c>
    </row>
    <row r="12" spans="1:4" x14ac:dyDescent="0.35">
      <c r="A12">
        <v>50000</v>
      </c>
      <c r="B12">
        <v>9.5999999999999992E-3</v>
      </c>
      <c r="C12" s="1">
        <v>2110.6999999999998</v>
      </c>
      <c r="D12" s="1">
        <f t="shared" si="0"/>
        <v>35.178333333333327</v>
      </c>
    </row>
    <row r="13" spans="1:4" x14ac:dyDescent="0.35">
      <c r="C13" s="1"/>
    </row>
    <row r="14" spans="1:4" x14ac:dyDescent="0.35">
      <c r="C14" s="1"/>
    </row>
    <row r="15" spans="1:4" x14ac:dyDescent="0.35">
      <c r="C15" s="1"/>
    </row>
    <row r="16" spans="1:4" x14ac:dyDescent="0.35">
      <c r="C16" s="1"/>
    </row>
    <row r="23" spans="3:4" x14ac:dyDescent="0.35">
      <c r="C23" t="s">
        <v>4</v>
      </c>
    </row>
    <row r="24" spans="3:4" x14ac:dyDescent="0.35">
      <c r="C24" s="2">
        <v>967</v>
      </c>
      <c r="D24" s="3">
        <f>C24/60</f>
        <v>16.116666666666667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gmres &amp; ilu('nofill')</vt:lpstr>
      <vt:lpstr>gmres</vt:lpstr>
      <vt:lpstr>lsqr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Kyler Howard</dc:creator>
  <cp:lastModifiedBy>Kyler Howard</cp:lastModifiedBy>
  <dcterms:created xsi:type="dcterms:W3CDTF">2024-10-11T16:38:04Z</dcterms:created>
  <dcterms:modified xsi:type="dcterms:W3CDTF">2024-10-28T20:37:36Z</dcterms:modified>
</cp:coreProperties>
</file>